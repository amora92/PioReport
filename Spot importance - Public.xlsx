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 EV" sheetId="1" r:id="rId4"/>
    <sheet state="visible" name="Practice Priority" sheetId="2" r:id="rId5"/>
  </sheets>
  <definedNames>
    <definedName hidden="1" localSheetId="0" name="_xlnm._FilterDatabase">'Spot EV'!$A$2:$H$38</definedName>
    <definedName hidden="1" localSheetId="1" name="_xlnm._FilterDatabase">'Practice Priority'!$A$1:$AB$37</definedName>
  </definedNames>
  <calcPr/>
</workbook>
</file>

<file path=xl/sharedStrings.xml><?xml version="1.0" encoding="utf-8"?>
<sst xmlns="http://schemas.openxmlformats.org/spreadsheetml/2006/main" count="173" uniqueCount="42">
  <si>
    <t>ID#</t>
  </si>
  <si>
    <t>Priority</t>
  </si>
  <si>
    <t>Configurations</t>
  </si>
  <si>
    <t>Preflop action</t>
  </si>
  <si>
    <t>Spot</t>
  </si>
  <si>
    <t>Frequency</t>
  </si>
  <si>
    <t>Starting pot size</t>
  </si>
  <si>
    <t>EV</t>
  </si>
  <si>
    <t>Set Threshold:</t>
  </si>
  <si>
    <t>SB vs BB</t>
  </si>
  <si>
    <t>SRP</t>
  </si>
  <si>
    <t>High Priority</t>
  </si>
  <si>
    <t>BTN vs BB</t>
  </si>
  <si>
    <t>Mid Priority</t>
  </si>
  <si>
    <t>CO vs BB</t>
  </si>
  <si>
    <t>Low Priority</t>
  </si>
  <si>
    <t>Total SRP Value</t>
  </si>
  <si>
    <t>BTN vs SB</t>
  </si>
  <si>
    <t>3BP</t>
  </si>
  <si>
    <t>Total 3BP Value</t>
  </si>
  <si>
    <t>HJ vs BB</t>
  </si>
  <si>
    <t>Total 4BP Value</t>
  </si>
  <si>
    <t>not done</t>
  </si>
  <si>
    <t>UTG vs BB</t>
  </si>
  <si>
    <t>Measured Spots</t>
  </si>
  <si>
    <t>CO vs BTN</t>
  </si>
  <si>
    <t>CO vs SB</t>
  </si>
  <si>
    <t>HJ vs CO</t>
  </si>
  <si>
    <t>HJ vs BTN</t>
  </si>
  <si>
    <t>HJ vs SB</t>
  </si>
  <si>
    <t>UTG vs CO</t>
  </si>
  <si>
    <t>UTG vs BTN</t>
  </si>
  <si>
    <t>UTG vs HJ</t>
  </si>
  <si>
    <t>UTG vs SB</t>
  </si>
  <si>
    <t>4BP</t>
  </si>
  <si>
    <t>Other Spots</t>
  </si>
  <si>
    <t>GTO Wizard Score</t>
  </si>
  <si>
    <t>Practice Priority</t>
  </si>
  <si>
    <t>Instructions</t>
  </si>
  <si>
    <t>1) Select File &gt; Make a copy    (DO NOT REQUEST ACCESS, MAKE YOUR OWN COPY!)</t>
  </si>
  <si>
    <t>2) Open Drills page in GTO Wizard and enter your GTOW score for different spots</t>
  </si>
  <si>
    <t>3) Re-order the practice priority to find most valuable spots to practice next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</si>
</sst>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2" fontId="2" numFmtId="9" xfId="0" applyAlignment="1" applyFill="1" applyFont="1" applyNumberFormat="1">
      <alignment horizontal="center" readingOrder="0"/>
    </xf>
    <xf borderId="0" fillId="0" fontId="2" numFmtId="164" xfId="0" applyFont="1" applyNumberFormat="1"/>
    <xf borderId="0" fillId="0" fontId="2" numFmtId="10" xfId="0" applyFont="1" applyNumberFormat="1"/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2" numFmtId="9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4" xfId="0" applyFont="1" applyNumberFormat="1"/>
    <xf borderId="0" fillId="3" fontId="1" numFmtId="0" xfId="0" applyAlignment="1" applyFont="1">
      <alignment readingOrder="0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Spot Importance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'Spot EV'!$H$2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'Spot EV'!$E$3:$E$11</c:f>
            </c:strRef>
          </c:cat>
          <c:val>
            <c:numRef>
              <c:f>'Spot EV'!$H$3:$H$11</c:f>
              <c:numCache/>
            </c:numRef>
          </c:val>
        </c:ser>
        <c:axId val="1250289320"/>
        <c:axId val="1465498074"/>
      </c:barChart>
      <c:catAx>
        <c:axId val="12502893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498074"/>
      </c:catAx>
      <c:valAx>
        <c:axId val="1465498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x Pot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2893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Practice Priority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'Practice Priority'!$J$1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'Practice Priority'!$E$2:$E$10</c:f>
            </c:strRef>
          </c:cat>
          <c:val>
            <c:numRef>
              <c:f>'Practice Priority'!$J$2:$J$10</c:f>
              <c:numCache/>
            </c:numRef>
          </c:val>
        </c:ser>
        <c:axId val="1555127445"/>
        <c:axId val="542046951"/>
      </c:barChart>
      <c:catAx>
        <c:axId val="15551274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046951"/>
      </c:catAx>
      <c:valAx>
        <c:axId val="5420469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1274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7</xdr:row>
      <xdr:rowOff>95250</xdr:rowOff>
    </xdr:from>
    <xdr:ext cx="6410325" cy="5010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7877175" cy="1552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323850</xdr:colOff>
      <xdr:row>7</xdr:row>
      <xdr:rowOff>47625</xdr:rowOff>
    </xdr:from>
    <xdr:ext cx="7524750" cy="5010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7.5"/>
    <col customWidth="1" min="3" max="3" width="15.38"/>
    <col customWidth="1" min="4" max="4" width="14.63"/>
    <col customWidth="1" min="5" max="5" width="16.5"/>
    <col customWidth="1" min="6" max="6" width="11.88"/>
    <col customWidth="1" min="7" max="7" width="16.5"/>
    <col customWidth="1" min="8" max="8" width="6.63"/>
    <col customWidth="1" min="11" max="11" width="11.88"/>
    <col customWidth="1" min="16" max="16" width="16.0"/>
  </cols>
  <sheetData>
    <row r="1" ht="123.75" customHeight="1">
      <c r="A1" s="1"/>
      <c r="K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1" t="s">
        <v>6</v>
      </c>
      <c r="H2" s="3" t="s">
        <v>7</v>
      </c>
      <c r="K2" s="2" t="s">
        <v>8</v>
      </c>
    </row>
    <row r="3">
      <c r="A3" s="4">
        <v>5.0</v>
      </c>
      <c r="B3" s="5" t="str">
        <f t="shared" ref="B3:B38" si="1">IF(H3&gt;=$K$3,"High Priority",IF(H3&gt;=$K$4,"Medium Priority",IF(H3&gt;0,"Low Priority","")))</f>
        <v>High Priority</v>
      </c>
      <c r="C3" s="5" t="s">
        <v>9</v>
      </c>
      <c r="D3" s="5" t="s">
        <v>10</v>
      </c>
      <c r="E3" s="6" t="str">
        <f t="shared" ref="E3:E38" si="2">C3 &amp; " - " &amp; D3</f>
        <v>SB vs BB - SRP</v>
      </c>
      <c r="F3" s="6">
        <v>0.0466</v>
      </c>
      <c r="G3" s="5">
        <v>6.0</v>
      </c>
      <c r="H3" s="7">
        <f t="shared" ref="H3:H38" si="3">F3*G3</f>
        <v>0.2796</v>
      </c>
      <c r="J3" s="2" t="s">
        <v>11</v>
      </c>
      <c r="K3" s="8">
        <v>0.2</v>
      </c>
      <c r="L3" s="9"/>
      <c r="R3" s="10"/>
    </row>
    <row r="4">
      <c r="A4" s="4">
        <v>4.0</v>
      </c>
      <c r="B4" s="5" t="str">
        <f t="shared" si="1"/>
        <v>High Priority</v>
      </c>
      <c r="C4" s="5" t="s">
        <v>12</v>
      </c>
      <c r="D4" s="5" t="s">
        <v>10</v>
      </c>
      <c r="E4" s="6" t="str">
        <f t="shared" si="2"/>
        <v>BTN vs BB - SRP</v>
      </c>
      <c r="F4" s="6">
        <v>0.0491</v>
      </c>
      <c r="G4" s="5">
        <v>5.5</v>
      </c>
      <c r="H4" s="7">
        <f t="shared" si="3"/>
        <v>0.27005</v>
      </c>
      <c r="J4" s="2" t="s">
        <v>13</v>
      </c>
      <c r="K4" s="8">
        <v>0.1</v>
      </c>
      <c r="L4" s="9"/>
      <c r="R4" s="10"/>
    </row>
    <row r="5">
      <c r="A5" s="4">
        <v>3.0</v>
      </c>
      <c r="B5" s="5" t="str">
        <f t="shared" si="1"/>
        <v>High Priority</v>
      </c>
      <c r="C5" s="5" t="s">
        <v>14</v>
      </c>
      <c r="D5" s="5" t="s">
        <v>10</v>
      </c>
      <c r="E5" s="6" t="str">
        <f t="shared" si="2"/>
        <v>CO vs BB - SRP</v>
      </c>
      <c r="F5" s="6">
        <v>0.0489</v>
      </c>
      <c r="G5" s="5">
        <v>4.7</v>
      </c>
      <c r="H5" s="7">
        <f t="shared" si="3"/>
        <v>0.22983</v>
      </c>
      <c r="J5" s="2" t="s">
        <v>15</v>
      </c>
      <c r="K5" s="4" t="str">
        <f>"&lt; " &amp; K4*100 &amp;"%"</f>
        <v>&lt; 10%</v>
      </c>
      <c r="P5" s="2" t="s">
        <v>16</v>
      </c>
      <c r="Q5" s="9">
        <f>SUMIF(D:D,"=SRP", H:H)</f>
        <v>1.09814</v>
      </c>
    </row>
    <row r="6">
      <c r="A6" s="4">
        <v>18.0</v>
      </c>
      <c r="B6" s="5" t="str">
        <f t="shared" si="1"/>
        <v>Medium Priority</v>
      </c>
      <c r="C6" s="5" t="s">
        <v>17</v>
      </c>
      <c r="D6" s="5" t="s">
        <v>18</v>
      </c>
      <c r="E6" s="6" t="str">
        <f t="shared" si="2"/>
        <v>BTN vs SB - 3BP</v>
      </c>
      <c r="F6" s="6">
        <v>0.0075</v>
      </c>
      <c r="G6" s="5">
        <v>23.0</v>
      </c>
      <c r="H6" s="7">
        <f t="shared" si="3"/>
        <v>0.1725</v>
      </c>
      <c r="P6" s="2" t="s">
        <v>19</v>
      </c>
      <c r="Q6" s="9">
        <f>SUMIF(D:D,"=3BP", H:H)</f>
        <v>1.07735</v>
      </c>
    </row>
    <row r="7">
      <c r="A7" s="4">
        <v>2.0</v>
      </c>
      <c r="B7" s="5" t="str">
        <f t="shared" si="1"/>
        <v>Medium Priority</v>
      </c>
      <c r="C7" s="5" t="s">
        <v>20</v>
      </c>
      <c r="D7" s="5" t="s">
        <v>10</v>
      </c>
      <c r="E7" s="6" t="str">
        <f t="shared" si="2"/>
        <v>HJ vs BB - SRP</v>
      </c>
      <c r="F7" s="6">
        <v>0.0366</v>
      </c>
      <c r="G7" s="5">
        <v>4.7</v>
      </c>
      <c r="H7" s="7">
        <f t="shared" si="3"/>
        <v>0.17202</v>
      </c>
      <c r="P7" s="2" t="s">
        <v>21</v>
      </c>
      <c r="Q7" s="9">
        <f>SUMIF(D:D,"=4BP", H:H)</f>
        <v>0.1251342029</v>
      </c>
      <c r="R7" s="2" t="s">
        <v>22</v>
      </c>
    </row>
    <row r="8">
      <c r="A8" s="4">
        <v>1.0</v>
      </c>
      <c r="B8" s="5" t="str">
        <f t="shared" si="1"/>
        <v>Medium Priority</v>
      </c>
      <c r="C8" s="5" t="s">
        <v>23</v>
      </c>
      <c r="D8" s="5" t="s">
        <v>10</v>
      </c>
      <c r="E8" s="6" t="str">
        <f t="shared" si="2"/>
        <v>UTG vs BB - SRP</v>
      </c>
      <c r="F8" s="6">
        <v>0.0312</v>
      </c>
      <c r="G8" s="5">
        <v>4.7</v>
      </c>
      <c r="H8" s="7">
        <f t="shared" si="3"/>
        <v>0.14664</v>
      </c>
      <c r="Q8" s="9"/>
    </row>
    <row r="9">
      <c r="A9" s="4">
        <v>19.0</v>
      </c>
      <c r="B9" s="5" t="str">
        <f t="shared" si="1"/>
        <v>Medium Priority</v>
      </c>
      <c r="C9" s="5" t="s">
        <v>12</v>
      </c>
      <c r="D9" s="5" t="s">
        <v>18</v>
      </c>
      <c r="E9" s="6" t="str">
        <f t="shared" si="2"/>
        <v>BTN vs BB - 3BP</v>
      </c>
      <c r="F9" s="6">
        <v>0.0053</v>
      </c>
      <c r="G9" s="5">
        <v>26.5</v>
      </c>
      <c r="H9" s="7">
        <f t="shared" si="3"/>
        <v>0.14045</v>
      </c>
    </row>
    <row r="10">
      <c r="A10" s="4">
        <v>20.0</v>
      </c>
      <c r="B10" s="5" t="str">
        <f t="shared" si="1"/>
        <v>Medium Priority</v>
      </c>
      <c r="C10" s="5" t="s">
        <v>9</v>
      </c>
      <c r="D10" s="5" t="s">
        <v>18</v>
      </c>
      <c r="E10" s="6" t="str">
        <f t="shared" si="2"/>
        <v>SB vs BB - 3BP</v>
      </c>
      <c r="F10" s="6">
        <v>0.0052</v>
      </c>
      <c r="G10" s="5">
        <v>20.0</v>
      </c>
      <c r="H10" s="7">
        <f t="shared" si="3"/>
        <v>0.104</v>
      </c>
      <c r="P10" s="2" t="s">
        <v>24</v>
      </c>
      <c r="Q10" s="11">
        <f>COUNTA(F:F)</f>
        <v>29</v>
      </c>
    </row>
    <row r="11">
      <c r="A11" s="4">
        <v>15.0</v>
      </c>
      <c r="B11" s="5" t="str">
        <f t="shared" si="1"/>
        <v>Low Priority</v>
      </c>
      <c r="C11" s="5" t="s">
        <v>25</v>
      </c>
      <c r="D11" s="5" t="s">
        <v>18</v>
      </c>
      <c r="E11" s="6" t="str">
        <f t="shared" si="2"/>
        <v>CO vs BTN - 3BP</v>
      </c>
      <c r="F11" s="6">
        <v>0.005</v>
      </c>
      <c r="G11" s="5">
        <v>16.5</v>
      </c>
      <c r="H11" s="7">
        <f t="shared" si="3"/>
        <v>0.0825</v>
      </c>
    </row>
    <row r="12">
      <c r="A12" s="4">
        <v>16.0</v>
      </c>
      <c r="B12" s="5" t="str">
        <f t="shared" si="1"/>
        <v>Low Priority</v>
      </c>
      <c r="C12" s="5" t="s">
        <v>26</v>
      </c>
      <c r="D12" s="5" t="s">
        <v>18</v>
      </c>
      <c r="E12" s="6" t="str">
        <f t="shared" si="2"/>
        <v>CO vs SB - 3BP</v>
      </c>
      <c r="F12" s="6">
        <v>0.0034</v>
      </c>
      <c r="G12" s="5">
        <v>23.0</v>
      </c>
      <c r="H12" s="7">
        <f t="shared" si="3"/>
        <v>0.0782</v>
      </c>
    </row>
    <row r="13">
      <c r="A13" s="4">
        <v>11.0</v>
      </c>
      <c r="B13" s="5" t="str">
        <f t="shared" si="1"/>
        <v>Low Priority</v>
      </c>
      <c r="C13" s="5" t="s">
        <v>27</v>
      </c>
      <c r="D13" s="5" t="s">
        <v>18</v>
      </c>
      <c r="E13" s="6" t="str">
        <f t="shared" si="2"/>
        <v>HJ vs CO - 3BP</v>
      </c>
      <c r="F13" s="6">
        <v>0.0038</v>
      </c>
      <c r="G13" s="5">
        <v>16.5</v>
      </c>
      <c r="H13" s="7">
        <f t="shared" si="3"/>
        <v>0.0627</v>
      </c>
    </row>
    <row r="14">
      <c r="A14" s="4">
        <v>12.0</v>
      </c>
      <c r="B14" s="5" t="str">
        <f t="shared" si="1"/>
        <v>Low Priority</v>
      </c>
      <c r="C14" s="5" t="s">
        <v>28</v>
      </c>
      <c r="D14" s="5" t="s">
        <v>18</v>
      </c>
      <c r="E14" s="6" t="str">
        <f t="shared" si="2"/>
        <v>HJ vs BTN - 3BP</v>
      </c>
      <c r="F14" s="6">
        <v>0.0037</v>
      </c>
      <c r="G14" s="5">
        <v>16.5</v>
      </c>
      <c r="H14" s="7">
        <f t="shared" si="3"/>
        <v>0.06105</v>
      </c>
    </row>
    <row r="15">
      <c r="A15" s="4">
        <v>17.0</v>
      </c>
      <c r="B15" s="5" t="str">
        <f t="shared" si="1"/>
        <v>Low Priority</v>
      </c>
      <c r="C15" s="5" t="s">
        <v>14</v>
      </c>
      <c r="D15" s="5" t="s">
        <v>18</v>
      </c>
      <c r="E15" s="6" t="str">
        <f t="shared" si="2"/>
        <v>CO vs BB - 3BP</v>
      </c>
      <c r="F15" s="6">
        <v>0.0022</v>
      </c>
      <c r="G15" s="5">
        <v>26.5</v>
      </c>
      <c r="H15" s="7">
        <f t="shared" si="3"/>
        <v>0.0583</v>
      </c>
    </row>
    <row r="16">
      <c r="A16" s="4">
        <v>13.0</v>
      </c>
      <c r="B16" s="5" t="str">
        <f t="shared" si="1"/>
        <v>Low Priority</v>
      </c>
      <c r="C16" s="5" t="s">
        <v>29</v>
      </c>
      <c r="D16" s="5" t="s">
        <v>18</v>
      </c>
      <c r="E16" s="6" t="str">
        <f t="shared" si="2"/>
        <v>HJ vs SB - 3BP</v>
      </c>
      <c r="F16" s="6">
        <v>0.0024</v>
      </c>
      <c r="G16" s="5">
        <v>23.0</v>
      </c>
      <c r="H16" s="7">
        <f t="shared" si="3"/>
        <v>0.0552</v>
      </c>
    </row>
    <row r="17">
      <c r="A17" s="4">
        <v>7.0</v>
      </c>
      <c r="B17" s="5" t="str">
        <f t="shared" si="1"/>
        <v>Low Priority</v>
      </c>
      <c r="C17" s="5" t="s">
        <v>30</v>
      </c>
      <c r="D17" s="5" t="s">
        <v>18</v>
      </c>
      <c r="E17" s="6" t="str">
        <f t="shared" si="2"/>
        <v>UTG vs CO - 3BP</v>
      </c>
      <c r="F17" s="6">
        <v>0.003</v>
      </c>
      <c r="G17" s="5">
        <v>16.5</v>
      </c>
      <c r="H17" s="7">
        <f t="shared" si="3"/>
        <v>0.0495</v>
      </c>
    </row>
    <row r="18">
      <c r="A18" s="4">
        <v>8.0</v>
      </c>
      <c r="B18" s="5" t="str">
        <f t="shared" si="1"/>
        <v>Low Priority</v>
      </c>
      <c r="C18" s="5" t="s">
        <v>31</v>
      </c>
      <c r="D18" s="5" t="s">
        <v>18</v>
      </c>
      <c r="E18" s="6" t="str">
        <f t="shared" si="2"/>
        <v>UTG vs BTN - 3BP</v>
      </c>
      <c r="F18" s="6">
        <v>0.003</v>
      </c>
      <c r="G18" s="5">
        <v>16.5</v>
      </c>
      <c r="H18" s="7">
        <f t="shared" si="3"/>
        <v>0.0495</v>
      </c>
    </row>
    <row r="19">
      <c r="A19" s="4">
        <v>6.0</v>
      </c>
      <c r="B19" s="5" t="str">
        <f t="shared" si="1"/>
        <v>Low Priority</v>
      </c>
      <c r="C19" s="5" t="s">
        <v>32</v>
      </c>
      <c r="D19" s="5" t="s">
        <v>18</v>
      </c>
      <c r="E19" s="6" t="str">
        <f t="shared" si="2"/>
        <v>UTG vs HJ - 3BP</v>
      </c>
      <c r="F19" s="6">
        <v>0.0029</v>
      </c>
      <c r="G19" s="5">
        <v>16.5</v>
      </c>
      <c r="H19" s="7">
        <f t="shared" si="3"/>
        <v>0.04785</v>
      </c>
    </row>
    <row r="20">
      <c r="A20" s="4">
        <v>14.0</v>
      </c>
      <c r="B20" s="5" t="str">
        <f t="shared" si="1"/>
        <v>Low Priority</v>
      </c>
      <c r="C20" s="5" t="s">
        <v>20</v>
      </c>
      <c r="D20" s="5" t="s">
        <v>18</v>
      </c>
      <c r="E20" s="6" t="str">
        <f t="shared" si="2"/>
        <v>HJ vs BB - 3BP</v>
      </c>
      <c r="F20" s="6">
        <v>0.0016</v>
      </c>
      <c r="G20" s="5">
        <v>26.5</v>
      </c>
      <c r="H20" s="7">
        <f t="shared" si="3"/>
        <v>0.0424</v>
      </c>
    </row>
    <row r="21">
      <c r="A21" s="4">
        <v>9.0</v>
      </c>
      <c r="B21" s="5" t="str">
        <f t="shared" si="1"/>
        <v>Low Priority</v>
      </c>
      <c r="C21" s="5" t="s">
        <v>33</v>
      </c>
      <c r="D21" s="5" t="s">
        <v>18</v>
      </c>
      <c r="E21" s="6" t="str">
        <f t="shared" si="2"/>
        <v>UTG vs SB - 3BP</v>
      </c>
      <c r="F21" s="6">
        <v>0.0018</v>
      </c>
      <c r="G21" s="5">
        <v>23.0</v>
      </c>
      <c r="H21" s="7">
        <f t="shared" si="3"/>
        <v>0.0414</v>
      </c>
    </row>
    <row r="22">
      <c r="A22" s="4">
        <v>35.0</v>
      </c>
      <c r="B22" s="5" t="str">
        <f t="shared" si="1"/>
        <v>Low Priority</v>
      </c>
      <c r="C22" s="5" t="s">
        <v>9</v>
      </c>
      <c r="D22" s="5" t="s">
        <v>34</v>
      </c>
      <c r="E22" s="6" t="str">
        <f t="shared" si="2"/>
        <v>SB vs BB - 4BP</v>
      </c>
      <c r="F22" s="7">
        <v>7.670214285714286E-4</v>
      </c>
      <c r="G22" s="5">
        <v>42.0</v>
      </c>
      <c r="H22" s="7">
        <f t="shared" si="3"/>
        <v>0.0322149</v>
      </c>
    </row>
    <row r="23">
      <c r="A23" s="4">
        <v>10.0</v>
      </c>
      <c r="B23" s="5" t="str">
        <f t="shared" si="1"/>
        <v>Low Priority</v>
      </c>
      <c r="C23" s="5" t="s">
        <v>23</v>
      </c>
      <c r="D23" s="5" t="s">
        <v>18</v>
      </c>
      <c r="E23" s="6" t="str">
        <f t="shared" si="2"/>
        <v>UTG vs BB - 3BP</v>
      </c>
      <c r="F23" s="6">
        <v>0.0012</v>
      </c>
      <c r="G23" s="5">
        <v>26.5</v>
      </c>
      <c r="H23" s="7">
        <f t="shared" si="3"/>
        <v>0.0318</v>
      </c>
    </row>
    <row r="24">
      <c r="A24" s="4">
        <v>30.0</v>
      </c>
      <c r="B24" s="5" t="str">
        <f t="shared" si="1"/>
        <v>Low Priority</v>
      </c>
      <c r="C24" s="5" t="s">
        <v>25</v>
      </c>
      <c r="D24" s="5" t="s">
        <v>34</v>
      </c>
      <c r="E24" s="6" t="str">
        <f t="shared" si="2"/>
        <v>CO vs BTN - 4BP</v>
      </c>
      <c r="F24" s="7">
        <v>5.65595E-4</v>
      </c>
      <c r="G24" s="5">
        <v>43.5</v>
      </c>
      <c r="H24" s="7">
        <f t="shared" si="3"/>
        <v>0.0246033825</v>
      </c>
    </row>
    <row r="25">
      <c r="A25" s="4">
        <v>33.0</v>
      </c>
      <c r="B25" s="5" t="str">
        <f t="shared" si="1"/>
        <v>Low Priority</v>
      </c>
      <c r="C25" s="5" t="s">
        <v>17</v>
      </c>
      <c r="D25" s="5" t="s">
        <v>34</v>
      </c>
      <c r="E25" s="6" t="str">
        <f t="shared" si="2"/>
        <v>BTN vs SB - 4BP</v>
      </c>
      <c r="F25" s="7">
        <v>4.108571428571429E-4</v>
      </c>
      <c r="G25" s="5">
        <v>49.5</v>
      </c>
      <c r="H25" s="7">
        <f t="shared" si="3"/>
        <v>0.02033742857</v>
      </c>
    </row>
    <row r="26">
      <c r="A26" s="4">
        <v>34.0</v>
      </c>
      <c r="B26" s="5" t="str">
        <f t="shared" si="1"/>
        <v>Low Priority</v>
      </c>
      <c r="C26" s="5" t="s">
        <v>12</v>
      </c>
      <c r="D26" s="5" t="s">
        <v>34</v>
      </c>
      <c r="E26" s="6" t="str">
        <f t="shared" si="2"/>
        <v>BTN vs BB - 4BP</v>
      </c>
      <c r="F26" s="7">
        <v>3.8512857142857144E-4</v>
      </c>
      <c r="G26" s="5">
        <v>50.0</v>
      </c>
      <c r="H26" s="7">
        <f t="shared" si="3"/>
        <v>0.01925642857</v>
      </c>
    </row>
    <row r="27">
      <c r="A27" s="4">
        <v>31.0</v>
      </c>
      <c r="B27" s="5" t="str">
        <f t="shared" si="1"/>
        <v>Low Priority</v>
      </c>
      <c r="C27" s="5" t="s">
        <v>26</v>
      </c>
      <c r="D27" s="5" t="s">
        <v>34</v>
      </c>
      <c r="E27" s="6" t="str">
        <f t="shared" si="2"/>
        <v>CO vs SB - 4BP</v>
      </c>
      <c r="F27" s="7">
        <v>2.556142857142857E-4</v>
      </c>
      <c r="G27" s="5">
        <v>49.5</v>
      </c>
      <c r="H27" s="7">
        <f t="shared" si="3"/>
        <v>0.01265290714</v>
      </c>
    </row>
    <row r="28">
      <c r="A28" s="4">
        <v>32.0</v>
      </c>
      <c r="B28" s="5" t="str">
        <f t="shared" si="1"/>
        <v>Low Priority</v>
      </c>
      <c r="C28" s="5" t="s">
        <v>14</v>
      </c>
      <c r="D28" s="5" t="s">
        <v>34</v>
      </c>
      <c r="E28" s="6" t="str">
        <f t="shared" si="2"/>
        <v>CO vs BB - 4BP</v>
      </c>
      <c r="F28" s="7">
        <v>1.274642857142857E-4</v>
      </c>
      <c r="G28" s="5">
        <v>50.0</v>
      </c>
      <c r="H28" s="7">
        <f t="shared" si="3"/>
        <v>0.006373214286</v>
      </c>
    </row>
    <row r="29">
      <c r="A29" s="4">
        <v>29.0</v>
      </c>
      <c r="B29" s="5" t="str">
        <f t="shared" si="1"/>
        <v>Low Priority</v>
      </c>
      <c r="C29" s="5" t="s">
        <v>20</v>
      </c>
      <c r="D29" s="5" t="s">
        <v>34</v>
      </c>
      <c r="E29" s="6" t="str">
        <f t="shared" si="2"/>
        <v>HJ vs BB - 4BP</v>
      </c>
      <c r="F29" s="7">
        <v>1.0663E-4</v>
      </c>
      <c r="G29" s="5">
        <v>50.0</v>
      </c>
      <c r="H29" s="7">
        <f t="shared" si="3"/>
        <v>0.0053315</v>
      </c>
    </row>
    <row r="30">
      <c r="A30" s="4">
        <v>21.0</v>
      </c>
      <c r="B30" s="5" t="str">
        <f t="shared" si="1"/>
        <v>Low Priority</v>
      </c>
      <c r="C30" s="5" t="s">
        <v>32</v>
      </c>
      <c r="D30" s="5" t="s">
        <v>34</v>
      </c>
      <c r="E30" s="6" t="str">
        <f t="shared" si="2"/>
        <v>UTG vs HJ - 4BP</v>
      </c>
      <c r="F30" s="7">
        <f>115684/1100000000</f>
        <v>0.0001051672727</v>
      </c>
      <c r="G30" s="5">
        <v>41.5</v>
      </c>
      <c r="H30" s="7">
        <f t="shared" si="3"/>
        <v>0.004364441818</v>
      </c>
    </row>
    <row r="31">
      <c r="A31" s="4">
        <v>22.0</v>
      </c>
      <c r="B31" s="5" t="str">
        <f t="shared" si="1"/>
        <v/>
      </c>
      <c r="C31" s="5" t="s">
        <v>30</v>
      </c>
      <c r="D31" s="5" t="s">
        <v>34</v>
      </c>
      <c r="E31" s="6" t="str">
        <f t="shared" si="2"/>
        <v>UTG vs CO - 4BP</v>
      </c>
      <c r="F31" s="7"/>
      <c r="G31" s="4"/>
      <c r="H31" s="7">
        <f t="shared" si="3"/>
        <v>0</v>
      </c>
    </row>
    <row r="32">
      <c r="A32" s="4">
        <v>23.0</v>
      </c>
      <c r="B32" s="5" t="str">
        <f t="shared" si="1"/>
        <v/>
      </c>
      <c r="C32" s="5" t="s">
        <v>31</v>
      </c>
      <c r="D32" s="5" t="s">
        <v>34</v>
      </c>
      <c r="E32" s="6" t="str">
        <f t="shared" si="2"/>
        <v>UTG vs BTN - 4BP</v>
      </c>
      <c r="F32" s="7"/>
      <c r="G32" s="4"/>
      <c r="H32" s="7">
        <f t="shared" si="3"/>
        <v>0</v>
      </c>
    </row>
    <row r="33">
      <c r="A33" s="4">
        <v>24.0</v>
      </c>
      <c r="B33" s="5" t="str">
        <f t="shared" si="1"/>
        <v/>
      </c>
      <c r="C33" s="5" t="s">
        <v>33</v>
      </c>
      <c r="D33" s="5" t="s">
        <v>34</v>
      </c>
      <c r="E33" s="6" t="str">
        <f t="shared" si="2"/>
        <v>UTG vs SB - 4BP</v>
      </c>
      <c r="F33" s="7"/>
      <c r="G33" s="4"/>
      <c r="H33" s="7">
        <f t="shared" si="3"/>
        <v>0</v>
      </c>
    </row>
    <row r="34">
      <c r="A34" s="4">
        <v>25.0</v>
      </c>
      <c r="B34" s="5" t="str">
        <f t="shared" si="1"/>
        <v/>
      </c>
      <c r="C34" s="5" t="s">
        <v>23</v>
      </c>
      <c r="D34" s="5" t="s">
        <v>34</v>
      </c>
      <c r="E34" s="6" t="str">
        <f t="shared" si="2"/>
        <v>UTG vs BB - 4BP</v>
      </c>
      <c r="F34" s="7"/>
      <c r="G34" s="4"/>
      <c r="H34" s="7">
        <f t="shared" si="3"/>
        <v>0</v>
      </c>
    </row>
    <row r="35">
      <c r="A35" s="4">
        <v>26.0</v>
      </c>
      <c r="B35" s="5" t="str">
        <f t="shared" si="1"/>
        <v/>
      </c>
      <c r="C35" s="5" t="s">
        <v>27</v>
      </c>
      <c r="D35" s="5" t="s">
        <v>34</v>
      </c>
      <c r="E35" s="6" t="str">
        <f t="shared" si="2"/>
        <v>HJ vs CO - 4BP</v>
      </c>
      <c r="F35" s="7"/>
      <c r="G35" s="4"/>
      <c r="H35" s="7">
        <f t="shared" si="3"/>
        <v>0</v>
      </c>
    </row>
    <row r="36">
      <c r="A36" s="4">
        <v>27.0</v>
      </c>
      <c r="B36" s="5" t="str">
        <f t="shared" si="1"/>
        <v/>
      </c>
      <c r="C36" s="5" t="s">
        <v>28</v>
      </c>
      <c r="D36" s="5" t="s">
        <v>34</v>
      </c>
      <c r="E36" s="6" t="str">
        <f t="shared" si="2"/>
        <v>HJ vs BTN - 4BP</v>
      </c>
      <c r="F36" s="7"/>
      <c r="G36" s="4"/>
      <c r="H36" s="7">
        <f t="shared" si="3"/>
        <v>0</v>
      </c>
    </row>
    <row r="37">
      <c r="A37" s="4">
        <v>28.0</v>
      </c>
      <c r="B37" s="5" t="str">
        <f t="shared" si="1"/>
        <v/>
      </c>
      <c r="C37" s="5" t="s">
        <v>29</v>
      </c>
      <c r="D37" s="5" t="s">
        <v>34</v>
      </c>
      <c r="E37" s="6" t="str">
        <f t="shared" si="2"/>
        <v>HJ vs SB - 4BP</v>
      </c>
      <c r="F37" s="7"/>
      <c r="G37" s="4"/>
      <c r="H37" s="7">
        <f t="shared" si="3"/>
        <v>0</v>
      </c>
    </row>
    <row r="38">
      <c r="A38" s="4">
        <v>36.0</v>
      </c>
      <c r="B38" s="5" t="str">
        <f t="shared" si="1"/>
        <v/>
      </c>
      <c r="C38" s="5" t="s">
        <v>35</v>
      </c>
      <c r="D38" s="4"/>
      <c r="E38" s="6" t="str">
        <f t="shared" si="2"/>
        <v>Other Spots - </v>
      </c>
      <c r="F38" s="7"/>
      <c r="G38" s="4"/>
      <c r="H38" s="7">
        <f t="shared" si="3"/>
        <v>0</v>
      </c>
    </row>
  </sheetData>
  <autoFilter ref="$A$2:$H$38">
    <sortState ref="A2:H38">
      <sortCondition descending="1" ref="H2:H38"/>
    </sortState>
  </autoFilter>
  <mergeCells count="1">
    <mergeCell ref="A1:H1"/>
  </mergeCells>
  <conditionalFormatting sqref="H2:H38">
    <cfRule type="colorScale" priority="1">
      <colorScale>
        <cfvo type="min"/>
        <cfvo type="max"/>
        <color rgb="FFFFFFFF"/>
        <color rgb="FF57BB8A"/>
      </colorScale>
    </cfRule>
  </conditionalFormatting>
  <conditionalFormatting sqref="D2:D38">
    <cfRule type="containsText" dxfId="0" priority="2" operator="containsText" text="SRP">
      <formula>NOT(ISERROR(SEARCH(("SRP"),(D2))))</formula>
    </cfRule>
  </conditionalFormatting>
  <conditionalFormatting sqref="D2:D38">
    <cfRule type="containsText" dxfId="1" priority="3" operator="containsText" text="3BP">
      <formula>NOT(ISERROR(SEARCH(("3BP"),(D2))))</formula>
    </cfRule>
  </conditionalFormatting>
  <conditionalFormatting sqref="D2:D38">
    <cfRule type="containsText" dxfId="2" priority="4" operator="containsText" text="4BP">
      <formula>NOT(ISERROR(SEARCH(("4BP"),(D2))))</formula>
    </cfRule>
  </conditionalFormatting>
  <dataValidations>
    <dataValidation type="list" allowBlank="1" showErrorMessage="1" sqref="B3:B38">
      <formula1>"Low Priority,Medium Priority,High Priority"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7.5"/>
    <col customWidth="1" min="3" max="3" width="15.38"/>
    <col customWidth="1" min="4" max="4" width="14.63"/>
    <col customWidth="1" min="5" max="5" width="16.5"/>
    <col customWidth="1" min="6" max="6" width="12.25"/>
    <col customWidth="1" min="7" max="7" width="12.38"/>
    <col customWidth="1" min="8" max="8" width="6.63"/>
    <col customWidth="1" min="9" max="9" width="10.63"/>
    <col customWidth="1" min="10" max="10" width="10.5"/>
    <col customWidth="1" min="13" max="13" width="11.88"/>
    <col customWidth="1" min="18" max="18" width="16.0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4" t="s">
        <v>36</v>
      </c>
      <c r="J1" s="15" t="s">
        <v>37</v>
      </c>
      <c r="K1" s="16"/>
      <c r="L1" s="16"/>
      <c r="M1" s="17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4">
        <v>5.0</v>
      </c>
      <c r="B2" s="5" t="str">
        <f t="shared" ref="B2:B37" si="1">IF(H2&gt;=$M$2,"High Priority",IF(H2&gt;=$M$3,"Medium Priority",IF(H2&gt;0,"Low Priority","")))</f>
        <v>High Priority</v>
      </c>
      <c r="C2" s="5" t="s">
        <v>9</v>
      </c>
      <c r="D2" s="5" t="s">
        <v>10</v>
      </c>
      <c r="E2" s="6" t="str">
        <f t="shared" ref="E2:E37" si="2">C2 &amp; " - " &amp; D2</f>
        <v>SB vs BB - SRP</v>
      </c>
      <c r="F2" s="6">
        <v>0.0466</v>
      </c>
      <c r="G2" s="5">
        <v>6.0</v>
      </c>
      <c r="H2" s="7">
        <f t="shared" ref="H2:H37" si="3">F2*G2</f>
        <v>0.2796</v>
      </c>
      <c r="I2" s="18">
        <v>0.7</v>
      </c>
      <c r="J2" s="19">
        <f t="shared" ref="J2:J37" si="4">(1-I2)^2*H2*100</f>
        <v>2.5164</v>
      </c>
      <c r="K2" s="2"/>
      <c r="N2" s="9"/>
      <c r="T2" s="10"/>
    </row>
    <row r="3">
      <c r="A3" s="4">
        <v>4.0</v>
      </c>
      <c r="B3" s="5" t="str">
        <f t="shared" si="1"/>
        <v>High Priority</v>
      </c>
      <c r="C3" s="5" t="s">
        <v>12</v>
      </c>
      <c r="D3" s="5" t="s">
        <v>10</v>
      </c>
      <c r="E3" s="6" t="str">
        <f t="shared" si="2"/>
        <v>BTN vs BB - SRP</v>
      </c>
      <c r="F3" s="6">
        <v>0.0491</v>
      </c>
      <c r="G3" s="5">
        <v>5.5</v>
      </c>
      <c r="H3" s="7">
        <f t="shared" si="3"/>
        <v>0.27005</v>
      </c>
      <c r="I3" s="18">
        <v>0.7</v>
      </c>
      <c r="J3" s="19">
        <f t="shared" si="4"/>
        <v>2.43045</v>
      </c>
      <c r="K3" s="2"/>
      <c r="L3" s="20" t="s">
        <v>38</v>
      </c>
      <c r="M3" s="21"/>
      <c r="N3" s="22"/>
      <c r="O3" s="21"/>
      <c r="P3" s="21"/>
      <c r="Q3" s="21"/>
      <c r="T3" s="10"/>
    </row>
    <row r="4">
      <c r="A4" s="4">
        <v>3.0</v>
      </c>
      <c r="B4" s="5" t="str">
        <f t="shared" si="1"/>
        <v>High Priority</v>
      </c>
      <c r="C4" s="5" t="s">
        <v>14</v>
      </c>
      <c r="D4" s="5" t="s">
        <v>10</v>
      </c>
      <c r="E4" s="6" t="str">
        <f t="shared" si="2"/>
        <v>CO vs BB - SRP</v>
      </c>
      <c r="F4" s="6">
        <v>0.0489</v>
      </c>
      <c r="G4" s="5">
        <v>4.7</v>
      </c>
      <c r="H4" s="7">
        <f t="shared" si="3"/>
        <v>0.22983</v>
      </c>
      <c r="I4" s="18">
        <v>0.7</v>
      </c>
      <c r="J4" s="19">
        <f t="shared" si="4"/>
        <v>2.06847</v>
      </c>
      <c r="K4" s="2"/>
      <c r="L4" s="23" t="s">
        <v>39</v>
      </c>
      <c r="M4" s="24"/>
      <c r="N4" s="21"/>
      <c r="O4" s="21"/>
      <c r="P4" s="21"/>
      <c r="Q4" s="21"/>
      <c r="S4" s="9"/>
    </row>
    <row r="5">
      <c r="A5" s="4">
        <v>18.0</v>
      </c>
      <c r="B5" s="5" t="str">
        <f t="shared" si="1"/>
        <v>High Priority</v>
      </c>
      <c r="C5" s="5" t="s">
        <v>17</v>
      </c>
      <c r="D5" s="5" t="s">
        <v>18</v>
      </c>
      <c r="E5" s="6" t="str">
        <f t="shared" si="2"/>
        <v>BTN vs SB - 3BP</v>
      </c>
      <c r="F5" s="6">
        <v>0.0075</v>
      </c>
      <c r="G5" s="5">
        <v>23.0</v>
      </c>
      <c r="H5" s="7">
        <f t="shared" si="3"/>
        <v>0.1725</v>
      </c>
      <c r="I5" s="18">
        <v>0.7</v>
      </c>
      <c r="J5" s="19">
        <f t="shared" si="4"/>
        <v>1.5525</v>
      </c>
      <c r="L5" s="20" t="s">
        <v>40</v>
      </c>
      <c r="M5" s="21"/>
      <c r="N5" s="21"/>
      <c r="O5" s="21"/>
      <c r="P5" s="21"/>
      <c r="Q5" s="21"/>
      <c r="S5" s="9"/>
    </row>
    <row r="6">
      <c r="A6" s="4">
        <v>2.0</v>
      </c>
      <c r="B6" s="5" t="str">
        <f t="shared" si="1"/>
        <v>High Priority</v>
      </c>
      <c r="C6" s="5" t="s">
        <v>20</v>
      </c>
      <c r="D6" s="5" t="s">
        <v>10</v>
      </c>
      <c r="E6" s="6" t="str">
        <f t="shared" si="2"/>
        <v>HJ vs BB - SRP</v>
      </c>
      <c r="F6" s="6">
        <v>0.0366</v>
      </c>
      <c r="G6" s="5">
        <v>4.7</v>
      </c>
      <c r="H6" s="7">
        <f t="shared" si="3"/>
        <v>0.17202</v>
      </c>
      <c r="I6" s="18">
        <v>0.7</v>
      </c>
      <c r="J6" s="19">
        <f t="shared" si="4"/>
        <v>1.54818</v>
      </c>
      <c r="L6" s="20" t="s">
        <v>41</v>
      </c>
      <c r="M6" s="21"/>
      <c r="N6" s="21"/>
      <c r="O6" s="21"/>
      <c r="P6" s="21"/>
      <c r="Q6" s="21"/>
      <c r="S6" s="9"/>
    </row>
    <row r="7">
      <c r="A7" s="4">
        <v>1.0</v>
      </c>
      <c r="B7" s="5" t="str">
        <f t="shared" si="1"/>
        <v>High Priority</v>
      </c>
      <c r="C7" s="5" t="s">
        <v>23</v>
      </c>
      <c r="D7" s="5" t="s">
        <v>10</v>
      </c>
      <c r="E7" s="6" t="str">
        <f t="shared" si="2"/>
        <v>UTG vs BB - SRP</v>
      </c>
      <c r="F7" s="6">
        <v>0.0312</v>
      </c>
      <c r="G7" s="5">
        <v>4.7</v>
      </c>
      <c r="H7" s="7">
        <f t="shared" si="3"/>
        <v>0.14664</v>
      </c>
      <c r="I7" s="18">
        <v>0.7</v>
      </c>
      <c r="J7" s="19">
        <f t="shared" si="4"/>
        <v>1.31976</v>
      </c>
      <c r="S7" s="9"/>
    </row>
    <row r="8">
      <c r="A8" s="4">
        <v>19.0</v>
      </c>
      <c r="B8" s="5" t="str">
        <f t="shared" si="1"/>
        <v>High Priority</v>
      </c>
      <c r="C8" s="5" t="s">
        <v>12</v>
      </c>
      <c r="D8" s="5" t="s">
        <v>18</v>
      </c>
      <c r="E8" s="6" t="str">
        <f t="shared" si="2"/>
        <v>BTN vs BB - 3BP</v>
      </c>
      <c r="F8" s="6">
        <v>0.0053</v>
      </c>
      <c r="G8" s="5">
        <v>26.5</v>
      </c>
      <c r="H8" s="7">
        <f t="shared" si="3"/>
        <v>0.14045</v>
      </c>
      <c r="I8" s="18">
        <v>0.7</v>
      </c>
      <c r="J8" s="19">
        <f t="shared" si="4"/>
        <v>1.26405</v>
      </c>
    </row>
    <row r="9">
      <c r="A9" s="4">
        <v>20.0</v>
      </c>
      <c r="B9" s="5" t="str">
        <f t="shared" si="1"/>
        <v>High Priority</v>
      </c>
      <c r="C9" s="5" t="s">
        <v>9</v>
      </c>
      <c r="D9" s="5" t="s">
        <v>18</v>
      </c>
      <c r="E9" s="6" t="str">
        <f t="shared" si="2"/>
        <v>SB vs BB - 3BP</v>
      </c>
      <c r="F9" s="6">
        <v>0.0052</v>
      </c>
      <c r="G9" s="5">
        <v>20.0</v>
      </c>
      <c r="H9" s="7">
        <f t="shared" si="3"/>
        <v>0.104</v>
      </c>
      <c r="I9" s="18">
        <v>0.7</v>
      </c>
      <c r="J9" s="19">
        <f t="shared" si="4"/>
        <v>0.936</v>
      </c>
    </row>
    <row r="10">
      <c r="A10" s="4">
        <v>15.0</v>
      </c>
      <c r="B10" s="5" t="str">
        <f t="shared" si="1"/>
        <v>High Priority</v>
      </c>
      <c r="C10" s="5" t="s">
        <v>25</v>
      </c>
      <c r="D10" s="5" t="s">
        <v>18</v>
      </c>
      <c r="E10" s="6" t="str">
        <f t="shared" si="2"/>
        <v>CO vs BTN - 3BP</v>
      </c>
      <c r="F10" s="6">
        <v>0.005</v>
      </c>
      <c r="G10" s="5">
        <v>16.5</v>
      </c>
      <c r="H10" s="7">
        <f t="shared" si="3"/>
        <v>0.0825</v>
      </c>
      <c r="I10" s="18">
        <v>0.7</v>
      </c>
      <c r="J10" s="19">
        <f t="shared" si="4"/>
        <v>0.7425</v>
      </c>
    </row>
    <row r="11">
      <c r="A11" s="4">
        <v>16.0</v>
      </c>
      <c r="B11" s="5" t="str">
        <f t="shared" si="1"/>
        <v>High Priority</v>
      </c>
      <c r="C11" s="5" t="s">
        <v>26</v>
      </c>
      <c r="D11" s="5" t="s">
        <v>18</v>
      </c>
      <c r="E11" s="6" t="str">
        <f t="shared" si="2"/>
        <v>CO vs SB - 3BP</v>
      </c>
      <c r="F11" s="6">
        <v>0.0034</v>
      </c>
      <c r="G11" s="5">
        <v>23.0</v>
      </c>
      <c r="H11" s="7">
        <f t="shared" si="3"/>
        <v>0.0782</v>
      </c>
      <c r="I11" s="18">
        <v>0.7</v>
      </c>
      <c r="J11" s="19">
        <f t="shared" si="4"/>
        <v>0.7038</v>
      </c>
    </row>
    <row r="12">
      <c r="A12" s="4">
        <v>11.0</v>
      </c>
      <c r="B12" s="5" t="str">
        <f t="shared" si="1"/>
        <v>High Priority</v>
      </c>
      <c r="C12" s="5" t="s">
        <v>27</v>
      </c>
      <c r="D12" s="5" t="s">
        <v>18</v>
      </c>
      <c r="E12" s="6" t="str">
        <f t="shared" si="2"/>
        <v>HJ vs CO - 3BP</v>
      </c>
      <c r="F12" s="6">
        <v>0.0038</v>
      </c>
      <c r="G12" s="5">
        <v>16.5</v>
      </c>
      <c r="H12" s="7">
        <f t="shared" si="3"/>
        <v>0.0627</v>
      </c>
      <c r="I12" s="18">
        <v>0.7</v>
      </c>
      <c r="J12" s="19">
        <f t="shared" si="4"/>
        <v>0.5643</v>
      </c>
    </row>
    <row r="13">
      <c r="A13" s="4">
        <v>12.0</v>
      </c>
      <c r="B13" s="5" t="str">
        <f t="shared" si="1"/>
        <v>High Priority</v>
      </c>
      <c r="C13" s="5" t="s">
        <v>28</v>
      </c>
      <c r="D13" s="5" t="s">
        <v>18</v>
      </c>
      <c r="E13" s="6" t="str">
        <f t="shared" si="2"/>
        <v>HJ vs BTN - 3BP</v>
      </c>
      <c r="F13" s="6">
        <v>0.0037</v>
      </c>
      <c r="G13" s="5">
        <v>16.5</v>
      </c>
      <c r="H13" s="7">
        <f t="shared" si="3"/>
        <v>0.06105</v>
      </c>
      <c r="I13" s="18">
        <v>0.7</v>
      </c>
      <c r="J13" s="19">
        <f t="shared" si="4"/>
        <v>0.54945</v>
      </c>
    </row>
    <row r="14">
      <c r="A14" s="4">
        <v>17.0</v>
      </c>
      <c r="B14" s="5" t="str">
        <f t="shared" si="1"/>
        <v>High Priority</v>
      </c>
      <c r="C14" s="5" t="s">
        <v>14</v>
      </c>
      <c r="D14" s="5" t="s">
        <v>18</v>
      </c>
      <c r="E14" s="6" t="str">
        <f t="shared" si="2"/>
        <v>CO vs BB - 3BP</v>
      </c>
      <c r="F14" s="6">
        <v>0.0022</v>
      </c>
      <c r="G14" s="5">
        <v>26.5</v>
      </c>
      <c r="H14" s="7">
        <f t="shared" si="3"/>
        <v>0.0583</v>
      </c>
      <c r="I14" s="18">
        <v>0.7</v>
      </c>
      <c r="J14" s="19">
        <f t="shared" si="4"/>
        <v>0.5247</v>
      </c>
    </row>
    <row r="15">
      <c r="A15" s="4">
        <v>13.0</v>
      </c>
      <c r="B15" s="5" t="str">
        <f t="shared" si="1"/>
        <v>High Priority</v>
      </c>
      <c r="C15" s="5" t="s">
        <v>29</v>
      </c>
      <c r="D15" s="5" t="s">
        <v>18</v>
      </c>
      <c r="E15" s="6" t="str">
        <f t="shared" si="2"/>
        <v>HJ vs SB - 3BP</v>
      </c>
      <c r="F15" s="6">
        <v>0.0024</v>
      </c>
      <c r="G15" s="5">
        <v>23.0</v>
      </c>
      <c r="H15" s="7">
        <f t="shared" si="3"/>
        <v>0.0552</v>
      </c>
      <c r="I15" s="18">
        <v>0.7</v>
      </c>
      <c r="J15" s="19">
        <f t="shared" si="4"/>
        <v>0.4968</v>
      </c>
    </row>
    <row r="16">
      <c r="A16" s="4">
        <v>7.0</v>
      </c>
      <c r="B16" s="5" t="str">
        <f t="shared" si="1"/>
        <v>High Priority</v>
      </c>
      <c r="C16" s="5" t="s">
        <v>30</v>
      </c>
      <c r="D16" s="5" t="s">
        <v>18</v>
      </c>
      <c r="E16" s="6" t="str">
        <f t="shared" si="2"/>
        <v>UTG vs CO - 3BP</v>
      </c>
      <c r="F16" s="6">
        <v>0.003</v>
      </c>
      <c r="G16" s="5">
        <v>16.5</v>
      </c>
      <c r="H16" s="7">
        <f t="shared" si="3"/>
        <v>0.0495</v>
      </c>
      <c r="I16" s="18">
        <v>0.7</v>
      </c>
      <c r="J16" s="19">
        <f t="shared" si="4"/>
        <v>0.4455</v>
      </c>
    </row>
    <row r="17">
      <c r="A17" s="4">
        <v>8.0</v>
      </c>
      <c r="B17" s="5" t="str">
        <f t="shared" si="1"/>
        <v>High Priority</v>
      </c>
      <c r="C17" s="5" t="s">
        <v>31</v>
      </c>
      <c r="D17" s="5" t="s">
        <v>18</v>
      </c>
      <c r="E17" s="6" t="str">
        <f t="shared" si="2"/>
        <v>UTG vs BTN - 3BP</v>
      </c>
      <c r="F17" s="6">
        <v>0.003</v>
      </c>
      <c r="G17" s="5">
        <v>16.5</v>
      </c>
      <c r="H17" s="7">
        <f t="shared" si="3"/>
        <v>0.0495</v>
      </c>
      <c r="I17" s="18">
        <v>0.7</v>
      </c>
      <c r="J17" s="19">
        <f t="shared" si="4"/>
        <v>0.4455</v>
      </c>
    </row>
    <row r="18">
      <c r="A18" s="4">
        <v>6.0</v>
      </c>
      <c r="B18" s="5" t="str">
        <f t="shared" si="1"/>
        <v>High Priority</v>
      </c>
      <c r="C18" s="5" t="s">
        <v>32</v>
      </c>
      <c r="D18" s="5" t="s">
        <v>18</v>
      </c>
      <c r="E18" s="6" t="str">
        <f t="shared" si="2"/>
        <v>UTG vs HJ - 3BP</v>
      </c>
      <c r="F18" s="6">
        <v>0.0029</v>
      </c>
      <c r="G18" s="5">
        <v>16.5</v>
      </c>
      <c r="H18" s="7">
        <f t="shared" si="3"/>
        <v>0.04785</v>
      </c>
      <c r="I18" s="18">
        <v>0.7</v>
      </c>
      <c r="J18" s="19">
        <f t="shared" si="4"/>
        <v>0.43065</v>
      </c>
    </row>
    <row r="19">
      <c r="A19" s="4">
        <v>14.0</v>
      </c>
      <c r="B19" s="5" t="str">
        <f t="shared" si="1"/>
        <v>High Priority</v>
      </c>
      <c r="C19" s="5" t="s">
        <v>20</v>
      </c>
      <c r="D19" s="5" t="s">
        <v>18</v>
      </c>
      <c r="E19" s="6" t="str">
        <f t="shared" si="2"/>
        <v>HJ vs BB - 3BP</v>
      </c>
      <c r="F19" s="6">
        <v>0.0016</v>
      </c>
      <c r="G19" s="5">
        <v>26.5</v>
      </c>
      <c r="H19" s="7">
        <f t="shared" si="3"/>
        <v>0.0424</v>
      </c>
      <c r="I19" s="18">
        <v>0.7</v>
      </c>
      <c r="J19" s="19">
        <f t="shared" si="4"/>
        <v>0.3816</v>
      </c>
    </row>
    <row r="20">
      <c r="A20" s="4">
        <v>9.0</v>
      </c>
      <c r="B20" s="5" t="str">
        <f t="shared" si="1"/>
        <v>High Priority</v>
      </c>
      <c r="C20" s="5" t="s">
        <v>33</v>
      </c>
      <c r="D20" s="5" t="s">
        <v>18</v>
      </c>
      <c r="E20" s="6" t="str">
        <f t="shared" si="2"/>
        <v>UTG vs SB - 3BP</v>
      </c>
      <c r="F20" s="6">
        <v>0.0018</v>
      </c>
      <c r="G20" s="5">
        <v>23.0</v>
      </c>
      <c r="H20" s="7">
        <f t="shared" si="3"/>
        <v>0.0414</v>
      </c>
      <c r="I20" s="18">
        <v>0.7</v>
      </c>
      <c r="J20" s="19">
        <f t="shared" si="4"/>
        <v>0.3726</v>
      </c>
    </row>
    <row r="21">
      <c r="A21" s="4">
        <v>35.0</v>
      </c>
      <c r="B21" s="5" t="str">
        <f t="shared" si="1"/>
        <v>High Priority</v>
      </c>
      <c r="C21" s="5" t="s">
        <v>9</v>
      </c>
      <c r="D21" s="5" t="s">
        <v>34</v>
      </c>
      <c r="E21" s="6" t="str">
        <f t="shared" si="2"/>
        <v>SB vs BB - 4BP</v>
      </c>
      <c r="F21" s="7">
        <v>7.670214285714286E-4</v>
      </c>
      <c r="G21" s="5">
        <v>42.0</v>
      </c>
      <c r="H21" s="7">
        <f t="shared" si="3"/>
        <v>0.0322149</v>
      </c>
      <c r="I21" s="18">
        <v>0.7</v>
      </c>
      <c r="J21" s="19">
        <f t="shared" si="4"/>
        <v>0.2899341</v>
      </c>
    </row>
    <row r="22">
      <c r="A22" s="4">
        <v>10.0</v>
      </c>
      <c r="B22" s="5" t="str">
        <f t="shared" si="1"/>
        <v>High Priority</v>
      </c>
      <c r="C22" s="5" t="s">
        <v>23</v>
      </c>
      <c r="D22" s="5" t="s">
        <v>18</v>
      </c>
      <c r="E22" s="6" t="str">
        <f t="shared" si="2"/>
        <v>UTG vs BB - 3BP</v>
      </c>
      <c r="F22" s="6">
        <v>0.0012</v>
      </c>
      <c r="G22" s="5">
        <v>26.5</v>
      </c>
      <c r="H22" s="7">
        <f t="shared" si="3"/>
        <v>0.0318</v>
      </c>
      <c r="I22" s="18">
        <v>0.7</v>
      </c>
      <c r="J22" s="19">
        <f t="shared" si="4"/>
        <v>0.2862</v>
      </c>
    </row>
    <row r="23">
      <c r="A23" s="4">
        <v>30.0</v>
      </c>
      <c r="B23" s="5" t="str">
        <f t="shared" si="1"/>
        <v>High Priority</v>
      </c>
      <c r="C23" s="5" t="s">
        <v>25</v>
      </c>
      <c r="D23" s="5" t="s">
        <v>34</v>
      </c>
      <c r="E23" s="6" t="str">
        <f t="shared" si="2"/>
        <v>CO vs BTN - 4BP</v>
      </c>
      <c r="F23" s="7">
        <v>5.65595E-4</v>
      </c>
      <c r="G23" s="5">
        <v>43.5</v>
      </c>
      <c r="H23" s="7">
        <f t="shared" si="3"/>
        <v>0.0246033825</v>
      </c>
      <c r="I23" s="18">
        <v>0.7</v>
      </c>
      <c r="J23" s="19">
        <f t="shared" si="4"/>
        <v>0.2214304425</v>
      </c>
    </row>
    <row r="24">
      <c r="A24" s="4">
        <v>33.0</v>
      </c>
      <c r="B24" s="5" t="str">
        <f t="shared" si="1"/>
        <v>High Priority</v>
      </c>
      <c r="C24" s="5" t="s">
        <v>17</v>
      </c>
      <c r="D24" s="5" t="s">
        <v>34</v>
      </c>
      <c r="E24" s="6" t="str">
        <f t="shared" si="2"/>
        <v>BTN vs SB - 4BP</v>
      </c>
      <c r="F24" s="7">
        <v>4.108571428571429E-4</v>
      </c>
      <c r="G24" s="5">
        <v>49.5</v>
      </c>
      <c r="H24" s="7">
        <f t="shared" si="3"/>
        <v>0.02033742857</v>
      </c>
      <c r="I24" s="18">
        <v>0.7</v>
      </c>
      <c r="J24" s="19">
        <f t="shared" si="4"/>
        <v>0.1830368571</v>
      </c>
    </row>
    <row r="25">
      <c r="A25" s="4">
        <v>34.0</v>
      </c>
      <c r="B25" s="5" t="str">
        <f t="shared" si="1"/>
        <v>High Priority</v>
      </c>
      <c r="C25" s="5" t="s">
        <v>12</v>
      </c>
      <c r="D25" s="5" t="s">
        <v>34</v>
      </c>
      <c r="E25" s="6" t="str">
        <f t="shared" si="2"/>
        <v>BTN vs BB - 4BP</v>
      </c>
      <c r="F25" s="7">
        <v>3.8512857142857144E-4</v>
      </c>
      <c r="G25" s="5">
        <v>50.0</v>
      </c>
      <c r="H25" s="7">
        <f t="shared" si="3"/>
        <v>0.01925642857</v>
      </c>
      <c r="I25" s="18">
        <v>0.7</v>
      </c>
      <c r="J25" s="19">
        <f t="shared" si="4"/>
        <v>0.1733078571</v>
      </c>
    </row>
    <row r="26">
      <c r="A26" s="4">
        <v>31.0</v>
      </c>
      <c r="B26" s="5" t="str">
        <f t="shared" si="1"/>
        <v>High Priority</v>
      </c>
      <c r="C26" s="5" t="s">
        <v>26</v>
      </c>
      <c r="D26" s="5" t="s">
        <v>34</v>
      </c>
      <c r="E26" s="6" t="str">
        <f t="shared" si="2"/>
        <v>CO vs SB - 4BP</v>
      </c>
      <c r="F26" s="7">
        <v>2.556142857142857E-4</v>
      </c>
      <c r="G26" s="5">
        <v>49.5</v>
      </c>
      <c r="H26" s="7">
        <f t="shared" si="3"/>
        <v>0.01265290714</v>
      </c>
      <c r="I26" s="18">
        <v>0.7</v>
      </c>
      <c r="J26" s="19">
        <f t="shared" si="4"/>
        <v>0.1138761643</v>
      </c>
    </row>
    <row r="27">
      <c r="A27" s="4">
        <v>32.0</v>
      </c>
      <c r="B27" s="5" t="str">
        <f t="shared" si="1"/>
        <v>High Priority</v>
      </c>
      <c r="C27" s="5" t="s">
        <v>14</v>
      </c>
      <c r="D27" s="5" t="s">
        <v>34</v>
      </c>
      <c r="E27" s="6" t="str">
        <f t="shared" si="2"/>
        <v>CO vs BB - 4BP</v>
      </c>
      <c r="F27" s="7">
        <v>1.274642857142857E-4</v>
      </c>
      <c r="G27" s="5">
        <v>50.0</v>
      </c>
      <c r="H27" s="7">
        <f t="shared" si="3"/>
        <v>0.006373214286</v>
      </c>
      <c r="I27" s="18">
        <v>0.7</v>
      </c>
      <c r="J27" s="19">
        <f t="shared" si="4"/>
        <v>0.05735892857</v>
      </c>
    </row>
    <row r="28">
      <c r="A28" s="4">
        <v>29.0</v>
      </c>
      <c r="B28" s="5" t="str">
        <f t="shared" si="1"/>
        <v>High Priority</v>
      </c>
      <c r="C28" s="5" t="s">
        <v>20</v>
      </c>
      <c r="D28" s="5" t="s">
        <v>34</v>
      </c>
      <c r="E28" s="6" t="str">
        <f t="shared" si="2"/>
        <v>HJ vs BB - 4BP</v>
      </c>
      <c r="F28" s="7">
        <v>1.0663E-4</v>
      </c>
      <c r="G28" s="5">
        <v>50.0</v>
      </c>
      <c r="H28" s="7">
        <f t="shared" si="3"/>
        <v>0.0053315</v>
      </c>
      <c r="I28" s="18">
        <v>0.7</v>
      </c>
      <c r="J28" s="19">
        <f t="shared" si="4"/>
        <v>0.0479835</v>
      </c>
    </row>
    <row r="29">
      <c r="A29" s="4">
        <v>21.0</v>
      </c>
      <c r="B29" s="5" t="str">
        <f t="shared" si="1"/>
        <v>High Priority</v>
      </c>
      <c r="C29" s="5" t="s">
        <v>32</v>
      </c>
      <c r="D29" s="5" t="s">
        <v>34</v>
      </c>
      <c r="E29" s="6" t="str">
        <f t="shared" si="2"/>
        <v>UTG vs HJ - 4BP</v>
      </c>
      <c r="F29" s="7">
        <f>115684/1100000000</f>
        <v>0.0001051672727</v>
      </c>
      <c r="G29" s="5">
        <v>41.5</v>
      </c>
      <c r="H29" s="7">
        <f t="shared" si="3"/>
        <v>0.004364441818</v>
      </c>
      <c r="I29" s="18">
        <v>0.7</v>
      </c>
      <c r="J29" s="19">
        <f t="shared" si="4"/>
        <v>0.03927997636</v>
      </c>
    </row>
    <row r="30">
      <c r="A30" s="4">
        <v>22.0</v>
      </c>
      <c r="B30" s="5" t="str">
        <f t="shared" si="1"/>
        <v>High Priority</v>
      </c>
      <c r="C30" s="5" t="s">
        <v>30</v>
      </c>
      <c r="D30" s="5" t="s">
        <v>34</v>
      </c>
      <c r="E30" s="6" t="str">
        <f t="shared" si="2"/>
        <v>UTG vs CO - 4BP</v>
      </c>
      <c r="F30" s="7"/>
      <c r="G30" s="4"/>
      <c r="H30" s="7">
        <f t="shared" si="3"/>
        <v>0</v>
      </c>
      <c r="I30" s="18">
        <v>0.7</v>
      </c>
      <c r="J30" s="19">
        <f t="shared" si="4"/>
        <v>0</v>
      </c>
    </row>
    <row r="31">
      <c r="A31" s="4">
        <v>23.0</v>
      </c>
      <c r="B31" s="5" t="str">
        <f t="shared" si="1"/>
        <v>High Priority</v>
      </c>
      <c r="C31" s="5" t="s">
        <v>31</v>
      </c>
      <c r="D31" s="5" t="s">
        <v>34</v>
      </c>
      <c r="E31" s="6" t="str">
        <f t="shared" si="2"/>
        <v>UTG vs BTN - 4BP</v>
      </c>
      <c r="F31" s="7"/>
      <c r="G31" s="4"/>
      <c r="H31" s="7">
        <f t="shared" si="3"/>
        <v>0</v>
      </c>
      <c r="I31" s="18">
        <v>0.7</v>
      </c>
      <c r="J31" s="19">
        <f t="shared" si="4"/>
        <v>0</v>
      </c>
    </row>
    <row r="32">
      <c r="A32" s="4">
        <v>24.0</v>
      </c>
      <c r="B32" s="5" t="str">
        <f t="shared" si="1"/>
        <v>High Priority</v>
      </c>
      <c r="C32" s="5" t="s">
        <v>33</v>
      </c>
      <c r="D32" s="5" t="s">
        <v>34</v>
      </c>
      <c r="E32" s="6" t="str">
        <f t="shared" si="2"/>
        <v>UTG vs SB - 4BP</v>
      </c>
      <c r="F32" s="7"/>
      <c r="G32" s="4"/>
      <c r="H32" s="7">
        <f t="shared" si="3"/>
        <v>0</v>
      </c>
      <c r="I32" s="18">
        <v>0.7</v>
      </c>
      <c r="J32" s="19">
        <f t="shared" si="4"/>
        <v>0</v>
      </c>
    </row>
    <row r="33">
      <c r="A33" s="4">
        <v>25.0</v>
      </c>
      <c r="B33" s="5" t="str">
        <f t="shared" si="1"/>
        <v>High Priority</v>
      </c>
      <c r="C33" s="5" t="s">
        <v>23</v>
      </c>
      <c r="D33" s="5" t="s">
        <v>34</v>
      </c>
      <c r="E33" s="6" t="str">
        <f t="shared" si="2"/>
        <v>UTG vs BB - 4BP</v>
      </c>
      <c r="F33" s="7"/>
      <c r="G33" s="4"/>
      <c r="H33" s="7">
        <f t="shared" si="3"/>
        <v>0</v>
      </c>
      <c r="I33" s="18">
        <v>0.7</v>
      </c>
      <c r="J33" s="19">
        <f t="shared" si="4"/>
        <v>0</v>
      </c>
    </row>
    <row r="34">
      <c r="A34" s="4">
        <v>26.0</v>
      </c>
      <c r="B34" s="5" t="str">
        <f t="shared" si="1"/>
        <v>High Priority</v>
      </c>
      <c r="C34" s="5" t="s">
        <v>27</v>
      </c>
      <c r="D34" s="5" t="s">
        <v>34</v>
      </c>
      <c r="E34" s="6" t="str">
        <f t="shared" si="2"/>
        <v>HJ vs CO - 4BP</v>
      </c>
      <c r="F34" s="7"/>
      <c r="G34" s="4"/>
      <c r="H34" s="7">
        <f t="shared" si="3"/>
        <v>0</v>
      </c>
      <c r="I34" s="18">
        <v>0.7</v>
      </c>
      <c r="J34" s="19">
        <f t="shared" si="4"/>
        <v>0</v>
      </c>
    </row>
    <row r="35">
      <c r="A35" s="4">
        <v>27.0</v>
      </c>
      <c r="B35" s="5" t="str">
        <f t="shared" si="1"/>
        <v>High Priority</v>
      </c>
      <c r="C35" s="5" t="s">
        <v>28</v>
      </c>
      <c r="D35" s="5" t="s">
        <v>34</v>
      </c>
      <c r="E35" s="6" t="str">
        <f t="shared" si="2"/>
        <v>HJ vs BTN - 4BP</v>
      </c>
      <c r="F35" s="7"/>
      <c r="G35" s="4"/>
      <c r="H35" s="7">
        <f t="shared" si="3"/>
        <v>0</v>
      </c>
      <c r="I35" s="18">
        <v>0.7</v>
      </c>
      <c r="J35" s="19">
        <f t="shared" si="4"/>
        <v>0</v>
      </c>
    </row>
    <row r="36">
      <c r="A36" s="4">
        <v>28.0</v>
      </c>
      <c r="B36" s="5" t="str">
        <f t="shared" si="1"/>
        <v>High Priority</v>
      </c>
      <c r="C36" s="5" t="s">
        <v>29</v>
      </c>
      <c r="D36" s="5" t="s">
        <v>34</v>
      </c>
      <c r="E36" s="6" t="str">
        <f t="shared" si="2"/>
        <v>HJ vs SB - 4BP</v>
      </c>
      <c r="F36" s="7"/>
      <c r="G36" s="4"/>
      <c r="H36" s="7">
        <f t="shared" si="3"/>
        <v>0</v>
      </c>
      <c r="I36" s="18">
        <v>0.7</v>
      </c>
      <c r="J36" s="19">
        <f t="shared" si="4"/>
        <v>0</v>
      </c>
    </row>
    <row r="37">
      <c r="A37" s="4">
        <v>36.0</v>
      </c>
      <c r="B37" s="5" t="str">
        <f t="shared" si="1"/>
        <v>High Priority</v>
      </c>
      <c r="C37" s="5" t="s">
        <v>35</v>
      </c>
      <c r="D37" s="4"/>
      <c r="E37" s="6" t="str">
        <f t="shared" si="2"/>
        <v>Other Spots - </v>
      </c>
      <c r="F37" s="7"/>
      <c r="G37" s="4"/>
      <c r="H37" s="7">
        <f t="shared" si="3"/>
        <v>0</v>
      </c>
      <c r="I37" s="18">
        <v>0.7</v>
      </c>
      <c r="J37" s="19">
        <f t="shared" si="4"/>
        <v>0</v>
      </c>
    </row>
  </sheetData>
  <autoFilter ref="$A$1:$AB$37">
    <sortState ref="A1:AB37">
      <sortCondition descending="1" ref="J1:J37"/>
    </sortState>
  </autoFilter>
  <conditionalFormatting sqref="H1:H37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37">
    <cfRule type="containsText" dxfId="0" priority="2" operator="containsText" text="SRP">
      <formula>NOT(ISERROR(SEARCH(("SRP"),(D1))))</formula>
    </cfRule>
  </conditionalFormatting>
  <conditionalFormatting sqref="D1:D37">
    <cfRule type="containsText" dxfId="1" priority="3" operator="containsText" text="3BP">
      <formula>NOT(ISERROR(SEARCH(("3BP"),(D1))))</formula>
    </cfRule>
  </conditionalFormatting>
  <conditionalFormatting sqref="D1:D37">
    <cfRule type="containsText" dxfId="2" priority="4" operator="containsText" text="4BP">
      <formula>NOT(ISERROR(SEARCH(("4BP"),(D1))))</formula>
    </cfRule>
  </conditionalFormatting>
  <conditionalFormatting sqref="J1:J37">
    <cfRule type="colorScale" priority="5">
      <colorScale>
        <cfvo type="min"/>
        <cfvo type="max"/>
        <color rgb="FFFFFFFF"/>
        <color rgb="FF57BB8A"/>
      </colorScale>
    </cfRule>
  </conditionalFormatting>
  <conditionalFormatting sqref="I1:I37">
    <cfRule type="colorScale" priority="6">
      <colorScale>
        <cfvo type="formula" val="0"/>
        <cfvo type="formula" val="1"/>
        <color rgb="FFE67C73"/>
        <color rgb="FFFFFFFF"/>
      </colorScale>
    </cfRule>
  </conditionalFormatting>
  <dataValidations>
    <dataValidation type="list" allowBlank="1" showErrorMessage="1" sqref="B2:B37">
      <formula1>"Low Priority,Medium Priority,High Priority"</formula1>
    </dataValidation>
  </dataValidations>
  <drawing r:id="rId1"/>
</worksheet>
</file>